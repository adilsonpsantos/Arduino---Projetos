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7e8609696b4bcf/Arduino/"/>
    </mc:Choice>
  </mc:AlternateContent>
  <xr:revisionPtr revIDLastSave="48" documentId="8_{E25F12AA-BB00-4897-8CCB-5E79822BF1B2}" xr6:coauthVersionLast="47" xr6:coauthVersionMax="47" xr10:uidLastSave="{11FC8244-80DC-4446-A6BE-5F1D3D28B6B0}"/>
  <bookViews>
    <workbookView xWindow="-108" yWindow="-108" windowWidth="23256" windowHeight="13176" xr2:uid="{27A93FC6-D995-4CC5-8E83-8637E31E61E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D6" i="1"/>
  <c r="D7" i="1"/>
  <c r="D8" i="1"/>
  <c r="D9" i="1"/>
  <c r="D5" i="1"/>
  <c r="I5" i="1"/>
  <c r="F7" i="1" a="1"/>
  <c r="F7" i="1" s="1"/>
  <c r="E7" i="1" l="1"/>
  <c r="E9" i="1"/>
  <c r="E8" i="1"/>
  <c r="E10" i="1"/>
  <c r="E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<sst xmlns="http://schemas.openxmlformats.org/spreadsheetml/2006/main" count="5" uniqueCount="5">
  <si>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 xml:space="preserve">R = </t>
  </si>
  <si>
    <t>NTC (k ohms)</t>
  </si>
  <si>
    <t>T medida</t>
  </si>
  <si>
    <t>V</t>
  </si>
  <si>
    <t>T calculada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</si>
</sst>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Planilha1!$C$4</c:f>
              <c:strCache>
                <c:ptCount val="1"/>
                <c:pt idx="0">
                  <c:v>T medida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Planilha1!$D$5:$D$9</c:f>
              <c:numCache>
                <c:formatCode>0.00</c:formatCode>
                <c:ptCount val="5"/>
                <c:pt idx="0">
                  <c:v>3.4246575342465753</c:v>
                </c:pt>
                <c:pt idx="1">
                  <c:v>3.4965034965034967</c:v>
                </c:pt>
                <c:pt idx="2">
                  <c:v>3.6764705882352939</c:v>
                </c:pt>
                <c:pt idx="3">
                  <c:v>3.8167938931297711</c:v>
                </c:pt>
                <c:pt idx="4">
                  <c:v>4.032258064516129</c:v>
                </c:pt>
              </c:numCache>
            </c:numRef>
          </c:cat>
          <c:val>
            <c:numRef>
              <c:f>Planilha1!$C$5:$C$9</c:f>
              <c:numCache>
                <c:formatCode>General</c:formatCode>
                <c:ptCount val="5"/>
                <c:pt idx="0">
                  <c:v>42</c:v>
                </c:pt>
                <c:pt idx="1">
                  <c:v>44</c:v>
                </c:pt>
                <c:pt idx="2">
                  <c:v>48</c:v>
                </c:pt>
                <c:pt idx="3">
                  <c:v>52</c:v>
                </c:pt>
                <c:pt idx="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673-4371-BD18-DACA196F5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152864"/>
        <c:axId val="733154784"/>
      </c:lineChart>
      <c:catAx>
        <c:axId val="73315286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3154784"/>
        <c:crosses val="autoZero"/>
        <c:auto val="1"/>
        <c:lblAlgn val="ctr"/>
        <c:lblOffset val="100"/>
        <c:noMultiLvlLbl val="0"/>
      </c:catAx>
      <c:valAx>
        <c:axId val="7331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315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13</xdr:row>
      <xdr:rowOff>22860</xdr:rowOff>
    </xdr:from>
    <xdr:to>
      <xdr:col>8</xdr:col>
      <xdr:colOff>289560</xdr:colOff>
      <xdr:row>28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346CE1-7429-F438-EC2A-0073152EB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F75F-2EE4-42E4-B277-A245B49EBA6D}">
  <dimension ref="B2:I10"/>
  <sheetViews>
    <sheetView tabSelected="1" workbookViewId="0">
      <selection activeCell="D5" sqref="D5"/>
    </sheetView>
  </sheetViews>
  <sheetFormatPr defaultRowHeight="14.45"/>
  <cols>
    <col min="2" max="2" width="11.7109375" bestFit="1" customWidth="1"/>
    <col min="4" max="4" width="10" bestFit="1" customWidth="1"/>
    <col min="5" max="5" width="10.140625" bestFit="1" customWidth="1"/>
  </cols>
  <sheetData>
    <row r="2" spans="2:9">
      <c r="D2" t="s">
        <v>0</v>
      </c>
      <c r="E2">
        <v>10000</v>
      </c>
    </row>
    <row r="4" spans="2:9">
      <c r="B4" s="3" t="s">
        <v>1</v>
      </c>
      <c r="C4" s="3" t="s">
        <v>2</v>
      </c>
      <c r="D4" s="3" t="s">
        <v>3</v>
      </c>
      <c r="E4" s="3" t="s">
        <v>4</v>
      </c>
    </row>
    <row r="5" spans="2:9">
      <c r="B5">
        <v>4.5999999999999996</v>
      </c>
      <c r="C5">
        <v>42</v>
      </c>
      <c r="D5" s="1">
        <f>$E$2*(5/($E$2+(B5*1000)))</f>
        <v>3.4246575342465753</v>
      </c>
      <c r="E5" s="2">
        <f>$F$7*D5+$G$7</f>
        <v>41.88974607964397</v>
      </c>
      <c r="I5">
        <f>5/(10000 + 4600)</f>
        <v>3.4246575342465754E-4</v>
      </c>
    </row>
    <row r="6" spans="2:9">
      <c r="B6">
        <v>4.3</v>
      </c>
      <c r="C6">
        <v>44</v>
      </c>
      <c r="D6" s="1">
        <f t="shared" ref="D6:D9" si="0">$E$2*(5/($E$2+(B6*1000)))</f>
        <v>3.4965034965034967</v>
      </c>
      <c r="E6" s="2">
        <f t="shared" ref="E5:E10" si="1">$F$7*D6+$G$7</f>
        <v>43.765503138897472</v>
      </c>
    </row>
    <row r="7" spans="2:9">
      <c r="B7">
        <v>3.6</v>
      </c>
      <c r="C7">
        <v>48</v>
      </c>
      <c r="D7" s="1">
        <f t="shared" si="0"/>
        <v>3.6764705882352939</v>
      </c>
      <c r="E7" s="2">
        <f t="shared" si="1"/>
        <v>48.464090674576568</v>
      </c>
      <c r="F7" cm="1">
        <f t="array" ref="F7:G7">LINEST(C5:C9,D5:D9,1,0)</f>
        <v>26.108037255396308</v>
      </c>
      <c r="G7">
        <v>-47.521340411439269</v>
      </c>
    </row>
    <row r="8" spans="2:9">
      <c r="B8">
        <v>3.1</v>
      </c>
      <c r="C8">
        <v>52</v>
      </c>
      <c r="D8" s="1">
        <f t="shared" si="0"/>
        <v>3.8167938931297711</v>
      </c>
      <c r="E8" s="2">
        <f t="shared" si="1"/>
        <v>52.127656746561911</v>
      </c>
    </row>
    <row r="9" spans="2:9">
      <c r="B9">
        <v>2.4</v>
      </c>
      <c r="C9">
        <v>58</v>
      </c>
      <c r="D9" s="1">
        <f t="shared" si="0"/>
        <v>4.032258064516129</v>
      </c>
      <c r="E9" s="2">
        <f t="shared" si="1"/>
        <v>57.753003360320037</v>
      </c>
    </row>
    <row r="10" spans="2:9">
      <c r="D10">
        <v>2.99</v>
      </c>
      <c r="E10" s="2">
        <f t="shared" si="1"/>
        <v>30.541690982195703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Adilson Pereira dos Santos</dc:creator>
  <cp:keywords/>
  <dc:description/>
  <cp:lastModifiedBy>Adilson Pereira dos Santos</cp:lastModifiedBy>
  <cp:revision/>
  <dcterms:created xsi:type="dcterms:W3CDTF">2023-08-06T00:07:49Z</dcterms:created>
  <dcterms:modified xsi:type="dcterms:W3CDTF">2025-11-08T23:37:50Z</dcterms:modified>
  <cp:category/>
  <cp:contentStatus/>
</cp:coreProperties>
</file>